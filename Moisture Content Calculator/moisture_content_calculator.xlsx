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balc\Downloads\"/>
    </mc:Choice>
  </mc:AlternateContent>
  <xr:revisionPtr revIDLastSave="0" documentId="13_ncr:1_{3CF5001B-12F9-46A9-82CD-798DA0D1655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11" i="1"/>
  <c r="F10" i="1"/>
  <c r="I13" i="1" s="1"/>
  <c r="K13" i="1" s="1"/>
  <c r="J11" i="1" l="1"/>
  <c r="K11" i="1"/>
  <c r="H13" i="1"/>
  <c r="J13" i="1" s="1"/>
</calcChain>
</file>

<file path=xl/sharedStrings.xml><?xml version="1.0" encoding="utf-8"?>
<sst xmlns="http://schemas.openxmlformats.org/spreadsheetml/2006/main" count="39" uniqueCount="27">
  <si>
    <t>Ingredient</t>
  </si>
  <si>
    <t>Wheat Gluten(Dry)</t>
  </si>
  <si>
    <t>Gluten</t>
  </si>
  <si>
    <t>Miso Paste</t>
  </si>
  <si>
    <t>Miso</t>
  </si>
  <si>
    <t>Garlic</t>
  </si>
  <si>
    <t>Nutritional Yeast</t>
  </si>
  <si>
    <t>Water</t>
  </si>
  <si>
    <t>Total moisture estimate(g)</t>
  </si>
  <si>
    <t>Total mass(g)</t>
  </si>
  <si>
    <t>Sample moisture estimate(g)</t>
  </si>
  <si>
    <t>Sample mass(g)</t>
  </si>
  <si>
    <t>References</t>
  </si>
  <si>
    <t>Moisture Content(MIN)[%]</t>
  </si>
  <si>
    <t>Moisture Content(MAX)[%]</t>
  </si>
  <si>
    <t>Mass(g)</t>
  </si>
  <si>
    <t>MIN(g)</t>
  </si>
  <si>
    <t>MAX(g)</t>
  </si>
  <si>
    <t>MIN(%)</t>
  </si>
  <si>
    <t>MAX(%)</t>
  </si>
  <si>
    <t>Referenced moisture content ratios[%]</t>
  </si>
  <si>
    <r>
      <rPr>
        <u/>
        <sz val="11"/>
        <color rgb="FF1155CC"/>
        <rFont val="Arial"/>
        <family val="2"/>
        <scheme val="major"/>
      </rPr>
      <t>https://link.springer.com/article/10.1007/s00217-020-03680-z?utm_source=chatgpt.com</t>
    </r>
  </si>
  <si>
    <r>
      <rPr>
        <u/>
        <sz val="11"/>
        <color rgb="FF1155CC"/>
        <rFont val="Arial"/>
        <family val="2"/>
        <scheme val="major"/>
      </rPr>
      <t>https://pmc.ncbi.nlm.nih.gov/articles/PMC6470805/?utm_source=chatgpt.com ,</t>
    </r>
    <r>
      <rPr>
        <sz val="11"/>
        <rFont val="Arial"/>
        <family val="2"/>
        <scheme val="major"/>
      </rPr>
      <t xml:space="preserve"> https://www.researchgate.net/figure/Concentration-of-nutrients-in-miso-per-100-g-59_tbl1_353390824</t>
    </r>
  </si>
  <si>
    <r>
      <rPr>
        <u/>
        <sz val="11"/>
        <color rgb="FF1155CC"/>
        <rFont val="Arial"/>
        <family val="2"/>
        <scheme val="major"/>
      </rPr>
      <t>https://www.researchgate.net/publication/356712251_Does_Curing_Moisture_Content_Affect_Black_Garlic_Physiochemical_Quality</t>
    </r>
  </si>
  <si>
    <r>
      <rPr>
        <u/>
        <sz val="11"/>
        <color rgb="FF1155CC"/>
        <rFont val="Arial"/>
        <family val="2"/>
        <scheme val="major"/>
      </rPr>
      <t>https://pmc.ncbi.nlm.nih.gov/articles/PMC8780597/</t>
    </r>
  </si>
  <si>
    <t>Assumed moisture content in grams and percentages</t>
  </si>
  <si>
    <t>Ingredients used in the preparation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</si>
</sst>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1"/>
      <color rgb="FF000000"/>
      <name val="Arial"/>
      <family val="2"/>
      <scheme val="major"/>
    </font>
    <font>
      <sz val="10"/>
      <color rgb="FF000000"/>
      <name val="Arial"/>
      <family val="2"/>
      <scheme val="major"/>
    </font>
    <font>
      <sz val="10"/>
      <name val="Arial"/>
      <family val="2"/>
      <scheme val="major"/>
    </font>
    <font>
      <u/>
      <sz val="11"/>
      <color rgb="FF0000FF"/>
      <name val="Arial"/>
      <family val="2"/>
      <scheme val="major"/>
    </font>
    <font>
      <u/>
      <sz val="11"/>
      <color rgb="FF1155CC"/>
      <name val="Arial"/>
      <family val="2"/>
      <scheme val="major"/>
    </font>
    <font>
      <sz val="11"/>
      <name val="Arial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rgb="FFA6C9EC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4D93D9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rgb="FF92D050"/>
      </patternFill>
    </fill>
  </fills>
  <borders count="4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0" xfId="0" applyFont="1"/>
    <xf numFmtId="0" fontId="1" fillId="9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0" borderId="0" xfId="0" applyFont="1"/>
    <xf numFmtId="0" fontId="1" fillId="9" borderId="9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6" borderId="44" xfId="0" applyFont="1" applyFill="1" applyBorder="1" applyAlignment="1">
      <alignment horizontal="center" vertical="center"/>
    </xf>
    <xf numFmtId="0" fontId="1" fillId="8" borderId="42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2" fillId="0" borderId="4" xfId="0" applyFont="1" applyBorder="1"/>
    <xf numFmtId="0" fontId="2" fillId="0" borderId="31" xfId="0" applyFont="1" applyBorder="1"/>
    <xf numFmtId="0" fontId="1" fillId="11" borderId="35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40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11" borderId="36" xfId="0" applyFont="1" applyFill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2" fillId="0" borderId="45" xfId="0" applyFont="1" applyBorder="1"/>
    <xf numFmtId="0" fontId="2" fillId="0" borderId="43" xfId="0" applyFont="1" applyBorder="1"/>
    <xf numFmtId="0" fontId="1" fillId="10" borderId="22" xfId="0" applyFont="1" applyFill="1" applyBorder="1" applyAlignment="1">
      <alignment horizontal="center" vertical="center"/>
    </xf>
    <xf numFmtId="0" fontId="1" fillId="10" borderId="23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  <xf numFmtId="0" fontId="1" fillId="0" borderId="18" xfId="0" applyFont="1" applyBorder="1"/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1" fillId="0" borderId="12" xfId="0" applyFont="1" applyBorder="1"/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1" fillId="0" borderId="14" xfId="0" applyFont="1" applyBorder="1"/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mc.ncbi.nlm.nih.gov/articles/PMC8780597/" TargetMode="External"/><Relationship Id="rId2" Type="http://schemas.openxmlformats.org/officeDocument/2006/relationships/hyperlink" Target="https://www.researchgate.net/publication/356712251_Does_Curing_Moisture_Content_Affect_Black_Garlic_Physiochemical_Quality" TargetMode="External"/><Relationship Id="rId1" Type="http://schemas.openxmlformats.org/officeDocument/2006/relationships/hyperlink" Target="https://pmc.ncbi.nlm.nih.gov/articles/PMC6470805/?utm_source=chatgpt.com%20," TargetMode="External"/><Relationship Id="rId4" Type="http://schemas.openxmlformats.org/officeDocument/2006/relationships/hyperlink" Target="https://link.springer.com/article/10.1007/s00217-020-03680-z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1"/>
  <sheetViews>
    <sheetView tabSelected="1" workbookViewId="0">
      <selection activeCell="E1" sqref="E1:F1"/>
    </sheetView>
  </sheetViews>
  <sheetFormatPr defaultColWidth="12.6640625" defaultRowHeight="15.75" customHeight="1" x14ac:dyDescent="0.25"/>
  <cols>
    <col min="1" max="1" width="18.77734375" customWidth="1"/>
    <col min="2" max="3" width="26.33203125" customWidth="1"/>
    <col min="5" max="5" width="22" customWidth="1"/>
    <col min="6" max="6" width="13.44140625" customWidth="1"/>
    <col min="7" max="7" width="28.21875" customWidth="1"/>
    <col min="8" max="8" width="10.88671875" customWidth="1"/>
    <col min="9" max="9" width="10" customWidth="1"/>
    <col min="10" max="11" width="11" customWidth="1"/>
  </cols>
  <sheetData>
    <row r="1" spans="1:11" ht="14.4" thickBot="1" x14ac:dyDescent="0.3">
      <c r="A1" s="1" t="s">
        <v>20</v>
      </c>
      <c r="B1" s="2"/>
      <c r="C1" s="3"/>
      <c r="D1" s="4"/>
      <c r="E1" s="75" t="s">
        <v>26</v>
      </c>
      <c r="F1" s="76"/>
      <c r="G1" s="4"/>
      <c r="H1" s="4"/>
      <c r="I1" s="4"/>
      <c r="J1" s="4"/>
      <c r="K1" s="4"/>
    </row>
    <row r="2" spans="1:11" ht="14.4" thickBot="1" x14ac:dyDescent="0.3">
      <c r="A2" s="5" t="s">
        <v>0</v>
      </c>
      <c r="B2" s="6" t="s">
        <v>13</v>
      </c>
      <c r="C2" s="7" t="s">
        <v>14</v>
      </c>
      <c r="D2" s="8"/>
      <c r="E2" s="5" t="s">
        <v>0</v>
      </c>
      <c r="F2" s="9" t="s">
        <v>15</v>
      </c>
      <c r="G2" s="8"/>
      <c r="H2" s="8"/>
      <c r="I2" s="4"/>
      <c r="J2" s="4"/>
      <c r="K2" s="4"/>
    </row>
    <row r="3" spans="1:11" ht="13.8" x14ac:dyDescent="0.25">
      <c r="A3" s="10" t="s">
        <v>1</v>
      </c>
      <c r="B3" s="11">
        <v>4.8</v>
      </c>
      <c r="C3" s="12">
        <v>7.4</v>
      </c>
      <c r="D3" s="8"/>
      <c r="E3" s="13" t="s">
        <v>2</v>
      </c>
      <c r="F3" s="14">
        <v>86</v>
      </c>
      <c r="G3" s="8"/>
      <c r="H3" s="8"/>
      <c r="I3" s="4"/>
      <c r="J3" s="4"/>
      <c r="K3" s="4"/>
    </row>
    <row r="4" spans="1:11" ht="13.8" x14ac:dyDescent="0.25">
      <c r="A4" s="15" t="s">
        <v>3</v>
      </c>
      <c r="B4" s="16">
        <v>38.5</v>
      </c>
      <c r="C4" s="17">
        <v>44.9</v>
      </c>
      <c r="D4" s="8"/>
      <c r="E4" s="18" t="s">
        <v>4</v>
      </c>
      <c r="F4" s="19">
        <v>10</v>
      </c>
      <c r="G4" s="8"/>
      <c r="H4" s="8"/>
      <c r="I4" s="4"/>
      <c r="J4" s="4"/>
      <c r="K4" s="4"/>
    </row>
    <row r="5" spans="1:11" ht="13.8" x14ac:dyDescent="0.25">
      <c r="A5" s="15" t="s">
        <v>5</v>
      </c>
      <c r="B5" s="16">
        <v>64.37</v>
      </c>
      <c r="C5" s="17">
        <v>80.069999999999993</v>
      </c>
      <c r="D5" s="8"/>
      <c r="E5" s="18" t="s">
        <v>5</v>
      </c>
      <c r="F5" s="19">
        <v>1.4</v>
      </c>
      <c r="G5" s="8"/>
      <c r="H5" s="8"/>
      <c r="I5" s="4"/>
      <c r="J5" s="4"/>
      <c r="K5" s="4"/>
    </row>
    <row r="6" spans="1:11" ht="13.8" x14ac:dyDescent="0.25">
      <c r="A6" s="15" t="s">
        <v>6</v>
      </c>
      <c r="B6" s="20">
        <v>8</v>
      </c>
      <c r="C6" s="21"/>
      <c r="D6" s="8"/>
      <c r="E6" s="18" t="s">
        <v>6</v>
      </c>
      <c r="F6" s="19">
        <v>3.2</v>
      </c>
      <c r="G6" s="8"/>
      <c r="H6" s="8"/>
      <c r="I6" s="4"/>
      <c r="J6" s="4"/>
      <c r="K6" s="4"/>
    </row>
    <row r="7" spans="1:11" ht="14.4" thickBot="1" x14ac:dyDescent="0.3">
      <c r="A7" s="22" t="s">
        <v>7</v>
      </c>
      <c r="B7" s="23">
        <v>100</v>
      </c>
      <c r="C7" s="24"/>
      <c r="D7" s="8"/>
      <c r="E7" s="25" t="s">
        <v>7</v>
      </c>
      <c r="F7" s="26">
        <v>99.4</v>
      </c>
      <c r="G7" s="8"/>
      <c r="H7" s="8"/>
      <c r="I7" s="4"/>
      <c r="J7" s="4"/>
      <c r="K7" s="4"/>
    </row>
    <row r="8" spans="1:11" ht="14.4" thickBot="1" x14ac:dyDescent="0.3">
      <c r="A8" s="28"/>
      <c r="B8" s="28"/>
      <c r="C8" s="28"/>
      <c r="D8" s="8"/>
      <c r="E8" s="28"/>
      <c r="F8" s="28"/>
      <c r="G8" s="8"/>
      <c r="H8" s="8"/>
      <c r="I8" s="4"/>
      <c r="J8" s="4"/>
      <c r="K8" s="4"/>
    </row>
    <row r="9" spans="1:11" ht="14.4" thickBot="1" x14ac:dyDescent="0.3">
      <c r="A9" s="8"/>
      <c r="B9" s="8"/>
      <c r="C9" s="8"/>
      <c r="D9" s="8"/>
      <c r="E9" s="72" t="s">
        <v>25</v>
      </c>
      <c r="F9" s="73"/>
      <c r="G9" s="73"/>
      <c r="H9" s="73"/>
      <c r="I9" s="73"/>
      <c r="J9" s="73"/>
      <c r="K9" s="74"/>
    </row>
    <row r="10" spans="1:11" ht="13.8" x14ac:dyDescent="0.25">
      <c r="A10" s="8"/>
      <c r="B10" s="8"/>
      <c r="C10" s="8"/>
      <c r="D10" s="8"/>
      <c r="E10" s="29" t="s">
        <v>9</v>
      </c>
      <c r="F10" s="30">
        <f>SUM(F3:F7)</f>
        <v>200</v>
      </c>
      <c r="G10" s="31" t="s">
        <v>8</v>
      </c>
      <c r="H10" s="32" t="s">
        <v>16</v>
      </c>
      <c r="I10" s="33" t="s">
        <v>17</v>
      </c>
      <c r="J10" s="34" t="s">
        <v>18</v>
      </c>
      <c r="K10" s="35" t="s">
        <v>19</v>
      </c>
    </row>
    <row r="11" spans="1:11" ht="13.8" x14ac:dyDescent="0.25">
      <c r="A11" s="8"/>
      <c r="B11" s="8"/>
      <c r="C11" s="8"/>
      <c r="D11" s="8"/>
      <c r="E11" s="36"/>
      <c r="F11" s="37"/>
      <c r="G11" s="38"/>
      <c r="H11" s="39">
        <f>(F3*(B3/100)+F4*(B4/100)+F5*(B5/100)+F6*(B6/100)+F7*(B7/100))</f>
        <v>108.53518000000001</v>
      </c>
      <c r="I11" s="40">
        <f>(F3*(C3/100)+F4*(C4/100)+F5*(C5/100)+F6*(B6/100)+F7*(B7/100))</f>
        <v>111.63098000000001</v>
      </c>
      <c r="J11" s="41">
        <f>(H11/F$10)*100</f>
        <v>54.267590000000013</v>
      </c>
      <c r="K11" s="42">
        <f>(I11/F10)*100</f>
        <v>55.815490000000004</v>
      </c>
    </row>
    <row r="12" spans="1:11" ht="13.8" x14ac:dyDescent="0.25">
      <c r="A12" s="8"/>
      <c r="B12" s="8"/>
      <c r="C12" s="8"/>
      <c r="D12" s="8"/>
      <c r="E12" s="43" t="s">
        <v>11</v>
      </c>
      <c r="F12" s="44">
        <v>30</v>
      </c>
      <c r="G12" s="45" t="s">
        <v>10</v>
      </c>
      <c r="H12" s="46" t="s">
        <v>16</v>
      </c>
      <c r="I12" s="47" t="s">
        <v>17</v>
      </c>
      <c r="J12" s="48" t="s">
        <v>18</v>
      </c>
      <c r="K12" s="49" t="s">
        <v>19</v>
      </c>
    </row>
    <row r="13" spans="1:11" ht="14.4" thickBot="1" x14ac:dyDescent="0.3">
      <c r="A13" s="8"/>
      <c r="B13" s="8"/>
      <c r="C13" s="8"/>
      <c r="D13" s="8"/>
      <c r="E13" s="50"/>
      <c r="F13" s="51"/>
      <c r="G13" s="52"/>
      <c r="H13" s="53">
        <f>(F12/F10)*(F3*(B3/100)+F4*(B4/100)+F5*(B5/100)+F6*(B6/100)+F7*(B7/100))</f>
        <v>16.280277000000002</v>
      </c>
      <c r="I13" s="54">
        <f>(F12/F10)*(F3*(C3/100)+F4*(C4/100)+F5*(C5/100)+F6*(B6/100)+F7*(B7/100))</f>
        <v>16.744647000000001</v>
      </c>
      <c r="J13" s="55">
        <f>(H13/F12)*100</f>
        <v>54.267590000000013</v>
      </c>
      <c r="K13" s="56">
        <f>(I13/F12)*100</f>
        <v>55.815490000000004</v>
      </c>
    </row>
    <row r="14" spans="1:11" ht="13.8" x14ac:dyDescent="0.25">
      <c r="A14" s="8"/>
      <c r="B14" s="8"/>
      <c r="C14" s="8"/>
      <c r="D14" s="8"/>
      <c r="E14" s="27"/>
      <c r="F14" s="28"/>
      <c r="G14" s="27"/>
      <c r="H14" s="27"/>
      <c r="I14" s="4"/>
      <c r="J14" s="4"/>
      <c r="K14" s="4"/>
    </row>
    <row r="15" spans="1:11" ht="15.75" customHeight="1" x14ac:dyDescent="0.25">
      <c r="A15" s="8"/>
      <c r="B15" s="8"/>
      <c r="C15" s="8"/>
      <c r="D15" s="8"/>
      <c r="E15" s="27"/>
      <c r="F15" s="28"/>
      <c r="G15" s="27"/>
      <c r="H15" s="27"/>
      <c r="I15" s="4"/>
      <c r="J15" s="4"/>
      <c r="K15" s="4"/>
    </row>
    <row r="16" spans="1:11" ht="14.4" thickBot="1" x14ac:dyDescent="0.3">
      <c r="A16" s="8"/>
      <c r="B16" s="8"/>
      <c r="C16" s="8"/>
      <c r="D16" s="8"/>
      <c r="E16" s="8"/>
      <c r="F16" s="8"/>
      <c r="G16" s="8"/>
      <c r="H16" s="8"/>
      <c r="I16" s="4"/>
      <c r="J16" s="4"/>
      <c r="K16" s="4"/>
    </row>
    <row r="17" spans="1:11" ht="14.4" thickBot="1" x14ac:dyDescent="0.3">
      <c r="A17" s="57" t="s">
        <v>12</v>
      </c>
      <c r="B17" s="58"/>
      <c r="C17" s="58"/>
      <c r="D17" s="58"/>
      <c r="E17" s="58"/>
      <c r="F17" s="58"/>
      <c r="G17" s="58"/>
      <c r="H17" s="59"/>
      <c r="I17" s="4"/>
      <c r="J17" s="4"/>
      <c r="K17" s="4"/>
    </row>
    <row r="18" spans="1:11" ht="13.8" x14ac:dyDescent="0.25">
      <c r="A18" s="60" t="s">
        <v>2</v>
      </c>
      <c r="B18" s="61" t="s">
        <v>21</v>
      </c>
      <c r="C18" s="62"/>
      <c r="D18" s="62"/>
      <c r="E18" s="62"/>
      <c r="F18" s="62"/>
      <c r="G18" s="62"/>
      <c r="H18" s="63"/>
      <c r="I18" s="4"/>
      <c r="J18" s="4"/>
      <c r="K18" s="4"/>
    </row>
    <row r="19" spans="1:11" ht="13.8" x14ac:dyDescent="0.25">
      <c r="A19" s="64" t="s">
        <v>4</v>
      </c>
      <c r="B19" s="65" t="s">
        <v>22</v>
      </c>
      <c r="C19" s="66"/>
      <c r="D19" s="66"/>
      <c r="E19" s="66"/>
      <c r="F19" s="66"/>
      <c r="G19" s="66"/>
      <c r="H19" s="67"/>
      <c r="I19" s="4"/>
      <c r="J19" s="4"/>
      <c r="K19" s="4"/>
    </row>
    <row r="20" spans="1:11" ht="15.75" customHeight="1" x14ac:dyDescent="0.25">
      <c r="A20" s="64" t="s">
        <v>5</v>
      </c>
      <c r="B20" s="65" t="s">
        <v>23</v>
      </c>
      <c r="C20" s="66"/>
      <c r="D20" s="66"/>
      <c r="E20" s="66"/>
      <c r="F20" s="66"/>
      <c r="G20" s="66"/>
      <c r="H20" s="67"/>
      <c r="I20" s="4"/>
      <c r="J20" s="4"/>
      <c r="K20" s="4"/>
    </row>
    <row r="21" spans="1:11" ht="15.75" customHeight="1" thickBot="1" x14ac:dyDescent="0.3">
      <c r="A21" s="68" t="s">
        <v>6</v>
      </c>
      <c r="B21" s="69" t="s">
        <v>24</v>
      </c>
      <c r="C21" s="70"/>
      <c r="D21" s="70"/>
      <c r="E21" s="70"/>
      <c r="F21" s="70"/>
      <c r="G21" s="70"/>
      <c r="H21" s="71"/>
      <c r="I21" s="4"/>
      <c r="J21" s="4"/>
      <c r="K21" s="4"/>
    </row>
  </sheetData>
  <mergeCells count="16">
    <mergeCell ref="A1:C1"/>
    <mergeCell ref="E1:F1"/>
    <mergeCell ref="E9:K9"/>
    <mergeCell ref="B7:C7"/>
    <mergeCell ref="G12:G13"/>
    <mergeCell ref="G10:G11"/>
    <mergeCell ref="F12:F13"/>
    <mergeCell ref="E12:E13"/>
    <mergeCell ref="F10:F11"/>
    <mergeCell ref="E10:E11"/>
    <mergeCell ref="A17:H17"/>
    <mergeCell ref="B19:H19"/>
    <mergeCell ref="B6:C6"/>
    <mergeCell ref="B20:H20"/>
    <mergeCell ref="B21:H21"/>
    <mergeCell ref="B18:H18"/>
  </mergeCells>
  <hyperlinks>
    <hyperlink ref="B19" r:id="rId1" xr:uid="{00000000-0004-0000-0000-000001000000}"/>
    <hyperlink ref="B20" r:id="rId2" xr:uid="{00000000-0004-0000-0000-000002000000}"/>
    <hyperlink ref="B21" r:id="rId3" xr:uid="{00000000-0004-0000-0000-000003000000}"/>
    <hyperlink ref="B18" r:id="rId4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t24b911d</cp:lastModifiedBy>
  <dcterms:modified xsi:type="dcterms:W3CDTF">2026-02-25T02:40:02Z</dcterms:modified>
</cp:coreProperties>
</file>